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shish Maharana\Downloads\MapUp-Data-Assessment-F-main\"/>
    </mc:Choice>
  </mc:AlternateContent>
  <xr:revisionPtr revIDLastSave="0" documentId="13_ncr:1_{00044D66-7D4F-4DC7-937B-111F6FBB5679}" xr6:coauthVersionLast="47" xr6:coauthVersionMax="47" xr10:uidLastSave="{00000000-0000-0000-0000-000000000000}"/>
  <bookViews>
    <workbookView xWindow="-120" yWindow="-120" windowWidth="21840" windowHeight="1644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Dataset!$A$1:$X$40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2" i="19" l="1" a="1"/>
  <c r="C22" i="19" s="1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5" i="1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<sst xmlns="http://schemas.openxmlformats.org/spreadsheetml/2006/main" count="402" uniqueCount="179">
  <si>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</si>
  <si>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</si>
  <si>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</si>
  <si>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</si>
  <si>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</si>
  <si>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</si>
  <si>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</si>
  <si>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</si>
  <si>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</si>
  <si>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</si>
  <si>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</si>
  <si>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</si>
  <si>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</si>
  <si>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</si>
  <si>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</si>
  <si>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</si>
  <si>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</si>
  <si>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</si>
  <si>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</si>
  <si>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</si>
  <si>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</si>
  <si>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</si>
  <si>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</si>
  <si>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</si>
  <si>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</si>
  <si>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</si>
  <si>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</si>
  <si>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</si>
  <si>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</si>
  <si>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</si>
  <si>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</si>
  <si>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</si>
  <si>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</si>
  <si>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</si>
  <si>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</si>
  <si>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</si>
  <si>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</si>
  <si>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</si>
  <si>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</si>
  <si>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</si>
  <si>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</si>
  <si>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</si>
  <si>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</si>
  <si>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</si>
  <si>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</si>
  <si>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</si>
  <si>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</si>
  <si>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</si>
  <si>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</si>
  <si>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</si>
  <si>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</si>
  <si>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</si>
  <si>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</si>
  <si>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</si>
  <si>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</si>
  <si>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</si>
  <si>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</si>
  <si>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</si>
  <si>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</si>
  <si>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</si>
  <si>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</si>
  <si>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</si>
  <si>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</si>
  <si>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</si>
  <si>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</si>
  <si>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</si>
  <si>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</si>
  <si>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</si>
  <si>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</si>
  <si>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</si>
  <si>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</si>
  <si>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</si>
  <si>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</si>
  <si>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</si>
  <si>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</si>
  <si>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</si>
  <si>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</si>
  <si>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</si>
  <si>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</si>
  <si>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</si>
  <si>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</si>
  <si>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</si>
  <si>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</si>
  <si>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</si>
  <si>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</si>
  <si>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</si>
  <si>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</si>
  <si>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</si>
  <si>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</si>
  <si>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</si>
  <si>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</si>
  <si>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</si>
  <si>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</si>
  <si>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</si>
  <si>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</si>
  <si>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</si>
  <si>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</si>
  <si>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</si>
  <si>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</si>
  <si>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</si>
  <si>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</si>
  <si>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</si>
  <si>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</si>
  <si>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</si>
  <si>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</si>
  <si>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</si>
  <si>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</si>
  <si>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</si>
  <si>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</si>
  <si>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</si>
  <si>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</si>
  <si>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</si>
  <si>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</si>
  <si>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</si>
  <si>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</si>
  <si>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</si>
  <si>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</si>
  <si>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</si>
  <si>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</si>
  <si>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</si>
  <si>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</si>
  <si>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</si>
  <si>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</si>
  <si>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</si>
  <si>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</si>
  <si>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</si>
  <si>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</si>
  <si>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</si>
  <si>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</si>
  <si>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</si>
  <si>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</si>
  <si>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</si>
  <si>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</si>
  <si>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</si>
  <si>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</si>
  <si>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</si>
  <si>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</si>
  <si>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</si>
  <si>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</si>
  <si>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</si>
  <si>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</si>
  <si>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</si>
  <si>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</si>
  <si>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</si>
  <si>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</si>
  <si>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</si>
  <si>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</si>
  <si>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</si>
  <si>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</si>
  <si>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</si>
  <si>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</si>
  <si>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</si>
  <si>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</si>
  <si>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</si>
  <si>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</si>
  <si>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</si>
  <si>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</si>
  <si>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</si>
  <si>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</si>
  <si>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</si>
  <si>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</si>
  <si>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</si>
  <si>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</si>
  <si>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</si>
  <si>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</si>
  <si>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</si>
  <si>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</si>
  <si>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</si>
  <si>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</si>
  <si>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</si>
  <si>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</si>
  <si>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</si>
  <si>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</si>
  <si>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</si>
  <si>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</si>
  <si>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</si>
  <si>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</si>
  <si>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I used "text to column" feature to do this problem. Used "hypen" as the delimiter and selected the "output cells" and finally clicked finish.</t>
  </si>
  <si>
    <t>used formula bar to calculate by using sum  function and iferror to substitute null values with '20'.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</si>
</sst>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4" fillId="0" borderId="0" xfId="0" applyFont="1"/>
    <xf numFmtId="0" fontId="15" fillId="0" borderId="0" xfId="0" applyFont="1"/>
    <xf numFmtId="0" fontId="16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17" fillId="0" borderId="0" xfId="0" applyFont="1"/>
    <xf numFmtId="166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theme="9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9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6" t="s">
        <v>171</v>
      </c>
      <c r="B9" s="26" t="s">
        <v>169</v>
      </c>
    </row>
    <row r="10" spans="1:3" x14ac:dyDescent="0.2">
      <c r="A10" s="35" t="s">
        <v>172</v>
      </c>
      <c r="B10" s="37">
        <v>25</v>
      </c>
    </row>
    <row r="11" spans="1:3" x14ac:dyDescent="0.2">
      <c r="A11" s="35" t="s">
        <v>55</v>
      </c>
      <c r="B11" s="37">
        <v>30</v>
      </c>
    </row>
    <row r="12" spans="1:3" x14ac:dyDescent="0.2">
      <c r="A12" s="35" t="s">
        <v>56</v>
      </c>
      <c r="B12" s="37">
        <v>10</v>
      </c>
    </row>
    <row r="13" spans="1:3" x14ac:dyDescent="0.2">
      <c r="A13" s="35" t="s">
        <v>85</v>
      </c>
      <c r="B13" s="37">
        <v>20</v>
      </c>
    </row>
    <row r="14" spans="1:3" x14ac:dyDescent="0.2">
      <c r="A14" s="35" t="s">
        <v>98</v>
      </c>
      <c r="B14" s="37">
        <v>40</v>
      </c>
    </row>
    <row r="15" spans="1:3" x14ac:dyDescent="0.2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/>
  <dimension ref="A1:X40"/>
  <sheetViews>
    <sheetView zoomScaleNormal="100" workbookViewId="0">
      <pane ySplit="1" topLeftCell="A2" activePane="bottomLeft" state="frozen"/>
      <selection activeCell="J1" sqref="J1"/>
      <selection pane="bottomLeft" activeCell="E56" sqref="E56:E57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1" bestFit="1" customWidth="1"/>
    <col min="25" max="16384" width="9" style="1"/>
  </cols>
  <sheetData>
    <row r="1" spans="1:24" s="3" customFormat="1" ht="14.85" customHeight="1" x14ac:dyDescent="0.25">
      <c r="A1" s="28" t="s">
        <v>64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79</v>
      </c>
      <c r="H1" s="30" t="s">
        <v>65</v>
      </c>
      <c r="I1" s="30" t="s">
        <v>66</v>
      </c>
      <c r="J1" s="31" t="s">
        <v>67</v>
      </c>
      <c r="K1" s="31" t="s">
        <v>68</v>
      </c>
      <c r="L1" s="31" t="s">
        <v>69</v>
      </c>
      <c r="M1" s="30" t="s">
        <v>70</v>
      </c>
      <c r="N1" s="30" t="s">
        <v>71</v>
      </c>
      <c r="O1" s="30" t="s">
        <v>72</v>
      </c>
      <c r="P1" s="31" t="s">
        <v>73</v>
      </c>
      <c r="Q1" s="31" t="s">
        <v>74</v>
      </c>
      <c r="R1" s="31" t="s">
        <v>75</v>
      </c>
      <c r="S1" s="30" t="s">
        <v>80</v>
      </c>
      <c r="T1" s="30" t="s">
        <v>76</v>
      </c>
      <c r="U1" s="31" t="s">
        <v>81</v>
      </c>
      <c r="V1" s="31" t="s">
        <v>77</v>
      </c>
      <c r="W1" s="31" t="s">
        <v>78</v>
      </c>
      <c r="X1" s="3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7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7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hidden="1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hidden="1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hidden="1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hidden="1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hidden="1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hidden="1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hidden="1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hidden="1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hidden="1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hidden="1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hidden="1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hidden="1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hidden="1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hidden="1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hidden="1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hidden="1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hidden="1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</sheetData>
  <autoFilter ref="A1:X40" xr:uid="{00000000-0001-0000-0000-000000000000}">
    <filterColumn colId="0">
      <filters>
        <filter val="Allegheny Valley"/>
        <filter val="Breezewood"/>
        <filter val="Butler Valley"/>
        <filter val="Carlisle"/>
        <filter val="Donegal"/>
        <filter val="Fort Littleton"/>
        <filter val="Fort Washington"/>
        <filter val="Harrisburg West"/>
        <filter val="Lebanon-Lancaster"/>
        <filter val="Mid-County"/>
        <filter val="Morgantown"/>
        <filter val="Neshaminy Falls"/>
        <filter val="Pittsburgh"/>
        <filter val="Pocono"/>
        <filter val="Quakertown"/>
        <filter val="Reading"/>
        <filter val="Somerset"/>
        <filter val="St. Rd"/>
        <filter val="Virginia Drive"/>
        <filter val="Warrendale"/>
        <filter val="Willow Hill"/>
        <filter val="Wyoming Valley"/>
      </filters>
    </filterColumn>
  </autoFilter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1:W40">
    <cfRule type="cellIs" dxfId="1" priority="2" operator="equal">
      <formula>-1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46">
        <f>SUMIF(Dataset!H2:H40, "&gt;20")</f>
        <v>1473.0000000000002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B30" sqref="B30:F30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1" customFormat="1" ht="21" x14ac:dyDescent="0.35">
      <c r="A1" s="42" t="s">
        <v>55</v>
      </c>
      <c r="B1" s="41" t="s">
        <v>164</v>
      </c>
    </row>
    <row r="2" spans="1:7" s="41" customFormat="1" ht="21" x14ac:dyDescent="0.35">
      <c r="B2" s="41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162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>
        <f>Dataset!$G2</f>
        <v>2.7</v>
      </c>
      <c r="C6" s="12">
        <f>Dataset!$N2</f>
        <v>7.6</v>
      </c>
      <c r="D6" s="12">
        <f>Dataset!$R2</f>
        <v>4.2</v>
      </c>
      <c r="E6" s="12">
        <f>Dataset!$T2</f>
        <v>8.9</v>
      </c>
      <c r="F6" s="8">
        <f>Dataset!$V2</f>
        <v>4.2</v>
      </c>
    </row>
    <row r="7" spans="1:7" ht="15" x14ac:dyDescent="0.25">
      <c r="A7" s="7" t="s">
        <v>4</v>
      </c>
      <c r="B7" s="12">
        <f>Dataset!$G3</f>
        <v>2.7</v>
      </c>
      <c r="C7" s="12">
        <f>Dataset!$N3</f>
        <v>7.6</v>
      </c>
      <c r="D7" s="12">
        <f>Dataset!$R3</f>
        <v>4.2</v>
      </c>
      <c r="E7" s="12">
        <f>Dataset!$T3</f>
        <v>8.9</v>
      </c>
      <c r="F7" s="8">
        <f>Dataset!$V3</f>
        <v>4.2</v>
      </c>
    </row>
    <row r="8" spans="1:7" ht="15" x14ac:dyDescent="0.25">
      <c r="A8" s="7" t="s">
        <v>7</v>
      </c>
      <c r="B8" s="12">
        <f>Dataset!$G4</f>
        <v>3.6</v>
      </c>
      <c r="C8" s="12">
        <f>Dataset!$N4</f>
        <v>11.1</v>
      </c>
      <c r="D8" s="12">
        <f>Dataset!$R4</f>
        <v>5.8</v>
      </c>
      <c r="E8" s="12">
        <f>Dataset!$T4</f>
        <v>12.2</v>
      </c>
      <c r="F8" s="8">
        <f>Dataset!$V4</f>
        <v>5.8</v>
      </c>
    </row>
    <row r="9" spans="1:7" ht="15" x14ac:dyDescent="0.25">
      <c r="A9" s="7" t="s">
        <v>8</v>
      </c>
      <c r="B9" s="12">
        <f>Dataset!$G5</f>
        <v>4.9000000000000004</v>
      </c>
      <c r="C9" s="12">
        <f>Dataset!$N5</f>
        <v>13.3</v>
      </c>
      <c r="D9" s="12">
        <f>Dataset!$R5</f>
        <v>8.1</v>
      </c>
      <c r="E9" s="12">
        <f>Dataset!$T5</f>
        <v>17</v>
      </c>
      <c r="F9" s="8">
        <f>Dataset!$V5</f>
        <v>8.1</v>
      </c>
    </row>
    <row r="10" spans="1:7" ht="15" x14ac:dyDescent="0.25">
      <c r="A10" s="7" t="s">
        <v>11</v>
      </c>
      <c r="B10" s="12">
        <f>Dataset!$G6</f>
        <v>6.6</v>
      </c>
      <c r="C10" s="12">
        <f>Dataset!$N6</f>
        <v>18</v>
      </c>
      <c r="D10" s="12">
        <f>Dataset!$R6</f>
        <v>11</v>
      </c>
      <c r="E10" s="12">
        <f>Dataset!$T6</f>
        <v>22.5</v>
      </c>
      <c r="F10" s="8">
        <f>Dataset!$V6</f>
        <v>11</v>
      </c>
    </row>
    <row r="11" spans="1:7" ht="15" x14ac:dyDescent="0.25">
      <c r="A11" s="7" t="s">
        <v>12</v>
      </c>
      <c r="B11" s="12">
        <f>Dataset!$G7</f>
        <v>7.1</v>
      </c>
      <c r="C11" s="12">
        <f>Dataset!$N7</f>
        <v>21.5</v>
      </c>
      <c r="D11" s="12">
        <f>Dataset!$R7</f>
        <v>12.8</v>
      </c>
      <c r="E11" s="12">
        <f>Dataset!$T7</f>
        <v>26.1</v>
      </c>
      <c r="F11" s="8">
        <f>Dataset!$V7</f>
        <v>12.8</v>
      </c>
    </row>
    <row r="12" spans="1:7" ht="15" x14ac:dyDescent="0.25">
      <c r="A12" s="7" t="s">
        <v>14</v>
      </c>
      <c r="B12" s="12">
        <f>Dataset!$G8</f>
        <v>9.4</v>
      </c>
      <c r="C12" s="12">
        <f>Dataset!$N8</f>
        <v>28.3</v>
      </c>
      <c r="D12" s="12">
        <f>Dataset!$R8</f>
        <v>16.100000000000001</v>
      </c>
      <c r="E12" s="12">
        <f>Dataset!$T8</f>
        <v>32.799999999999997</v>
      </c>
      <c r="F12" s="8">
        <f>Dataset!$V8</f>
        <v>16.100000000000001</v>
      </c>
    </row>
    <row r="13" spans="1:7" ht="15" x14ac:dyDescent="0.25">
      <c r="A13" s="7" t="s">
        <v>15</v>
      </c>
      <c r="B13" s="12">
        <f>Dataset!$G9</f>
        <v>11.6</v>
      </c>
      <c r="C13" s="12">
        <f>Dataset!$N9</f>
        <v>35.200000000000003</v>
      </c>
      <c r="D13" s="12">
        <f>Dataset!$R9</f>
        <v>21.3</v>
      </c>
      <c r="E13" s="12">
        <f>Dataset!$T9</f>
        <v>43</v>
      </c>
      <c r="F13" s="8">
        <f>Dataset!$V9</f>
        <v>21.3</v>
      </c>
    </row>
    <row r="14" spans="1:7" ht="15" x14ac:dyDescent="0.25">
      <c r="A14" s="7" t="s">
        <v>16</v>
      </c>
      <c r="B14" s="12">
        <f>Dataset!$G10</f>
        <v>16.100000000000001</v>
      </c>
      <c r="C14" s="12">
        <f>Dataset!$N10</f>
        <v>49</v>
      </c>
      <c r="D14" s="12">
        <f>Dataset!$R10</f>
        <v>29.1</v>
      </c>
      <c r="E14" s="12">
        <f>Dataset!$T10</f>
        <v>59</v>
      </c>
      <c r="F14" s="8">
        <f>Dataset!$V10</f>
        <v>29.1</v>
      </c>
    </row>
    <row r="15" spans="1:7" ht="15" x14ac:dyDescent="0.25">
      <c r="A15" s="7" t="s">
        <v>18</v>
      </c>
      <c r="B15" s="12">
        <f>Dataset!$G11</f>
        <v>18.399999999999999</v>
      </c>
      <c r="C15" s="12">
        <f>Dataset!$N11</f>
        <v>55.6</v>
      </c>
      <c r="D15" s="12">
        <f>Dataset!$R11</f>
        <v>33.799999999999997</v>
      </c>
      <c r="E15" s="12">
        <f>Dataset!$T11</f>
        <v>67.900000000000006</v>
      </c>
      <c r="F15" s="8">
        <f>Dataset!$V11</f>
        <v>33.799999999999997</v>
      </c>
    </row>
    <row r="16" spans="1:7" ht="15" x14ac:dyDescent="0.25">
      <c r="A16" s="7" t="s">
        <v>20</v>
      </c>
      <c r="B16" s="12">
        <f>Dataset!$G12</f>
        <v>0</v>
      </c>
      <c r="C16" s="12">
        <f>Dataset!$N12</f>
        <v>0</v>
      </c>
      <c r="D16" s="12">
        <f>Dataset!$R12</f>
        <v>0</v>
      </c>
      <c r="E16" s="12">
        <f>Dataset!$T12</f>
        <v>0</v>
      </c>
      <c r="F16" s="8">
        <f>Dataset!$V12</f>
        <v>0</v>
      </c>
    </row>
    <row r="17" spans="1:6" ht="15" x14ac:dyDescent="0.25">
      <c r="A17" s="7" t="s">
        <v>22</v>
      </c>
      <c r="B17" s="12">
        <f>Dataset!$G13</f>
        <v>21.9</v>
      </c>
      <c r="C17" s="12">
        <f>Dataset!$N13</f>
        <v>61.5</v>
      </c>
      <c r="D17" s="12">
        <f>Dataset!$R13</f>
        <v>40.1</v>
      </c>
      <c r="E17" s="12">
        <f>Dataset!$T13</f>
        <v>76.599999999999994</v>
      </c>
      <c r="F17" s="8">
        <f>Dataset!$V13</f>
        <v>40.1</v>
      </c>
    </row>
    <row r="18" spans="1:6" ht="15" x14ac:dyDescent="0.25">
      <c r="A18" s="7" t="s">
        <v>23</v>
      </c>
      <c r="B18" s="12">
        <f>Dataset!$G14</f>
        <v>23.5</v>
      </c>
      <c r="C18" s="12">
        <f>Dataset!$N14</f>
        <v>70.8</v>
      </c>
      <c r="D18" s="12">
        <f>Dataset!$R14</f>
        <v>42.7</v>
      </c>
      <c r="E18" s="12">
        <f>Dataset!$T14</f>
        <v>86.6</v>
      </c>
      <c r="F18" s="8">
        <f>Dataset!$V14</f>
        <v>42.7</v>
      </c>
    </row>
    <row r="19" spans="1:6" ht="15" x14ac:dyDescent="0.25">
      <c r="A19" s="7" t="s">
        <v>24</v>
      </c>
      <c r="B19" s="12">
        <f>Dataset!$G15</f>
        <v>26.8</v>
      </c>
      <c r="C19" s="12">
        <f>Dataset!$N15</f>
        <v>79.599999999999994</v>
      </c>
      <c r="D19" s="12">
        <f>Dataset!$R15</f>
        <v>47.9</v>
      </c>
      <c r="E19" s="12">
        <f>Dataset!$T15</f>
        <v>96.8</v>
      </c>
      <c r="F19" s="8">
        <f>Dataset!$V15</f>
        <v>47.9</v>
      </c>
    </row>
    <row r="20" spans="1:6" ht="15" x14ac:dyDescent="0.25">
      <c r="A20" s="7" t="s">
        <v>28</v>
      </c>
      <c r="B20" s="12">
        <f>Dataset!$G16</f>
        <v>28</v>
      </c>
      <c r="C20" s="12">
        <f>Dataset!$N16</f>
        <v>83.2</v>
      </c>
      <c r="D20" s="12">
        <f>Dataset!$R16</f>
        <v>50.1</v>
      </c>
      <c r="E20" s="12">
        <f>Dataset!$T16</f>
        <v>101.3</v>
      </c>
      <c r="F20" s="8">
        <f>Dataset!$V16</f>
        <v>50.1</v>
      </c>
    </row>
    <row r="21" spans="1:6" ht="15" x14ac:dyDescent="0.25">
      <c r="A21" s="7" t="s">
        <v>57</v>
      </c>
      <c r="B21" s="12">
        <f>Dataset!$G17</f>
        <v>28.5</v>
      </c>
      <c r="C21" s="12">
        <f>Dataset!$N17</f>
        <v>85.4</v>
      </c>
      <c r="D21" s="12">
        <f>Dataset!$R17</f>
        <v>52.3</v>
      </c>
      <c r="E21" s="12">
        <f>Dataset!$T17</f>
        <v>106.1</v>
      </c>
      <c r="F21" s="8">
        <f>Dataset!$V17</f>
        <v>52.3</v>
      </c>
    </row>
    <row r="22" spans="1:6" ht="15" x14ac:dyDescent="0.25">
      <c r="A22" s="7" t="s">
        <v>58</v>
      </c>
      <c r="B22" s="12">
        <f>Dataset!$G18</f>
        <v>29.1</v>
      </c>
      <c r="C22" s="12">
        <f>Dataset!$N18</f>
        <v>87.6</v>
      </c>
      <c r="D22" s="12">
        <f>Dataset!$R18</f>
        <v>53.7</v>
      </c>
      <c r="E22" s="12">
        <f>Dataset!$T18</f>
        <v>108.8</v>
      </c>
      <c r="F22" s="8">
        <f>Dataset!$V18</f>
        <v>53.7</v>
      </c>
    </row>
    <row r="23" spans="1:6" ht="15" x14ac:dyDescent="0.25">
      <c r="A23" s="7" t="s">
        <v>31</v>
      </c>
      <c r="B23" s="12">
        <f>Dataset!$G19</f>
        <v>30.7</v>
      </c>
      <c r="C23" s="12">
        <f>Dataset!$N19</f>
        <v>92.1</v>
      </c>
      <c r="D23" s="12">
        <f>Dataset!$R19</f>
        <v>57</v>
      </c>
      <c r="E23" s="12">
        <f>Dataset!$T19</f>
        <v>115.1</v>
      </c>
      <c r="F23" s="8">
        <f>Dataset!$V19</f>
        <v>57</v>
      </c>
    </row>
    <row r="24" spans="1:6" ht="15" x14ac:dyDescent="0.25">
      <c r="A24" s="7" t="s">
        <v>32</v>
      </c>
      <c r="B24" s="12">
        <f>Dataset!$G20</f>
        <v>33.799999999999997</v>
      </c>
      <c r="C24" s="12">
        <f>Dataset!$N20</f>
        <v>101.3</v>
      </c>
      <c r="D24" s="12">
        <f>Dataset!$R20</f>
        <v>61.4</v>
      </c>
      <c r="E24" s="12">
        <f>Dataset!$T20</f>
        <v>124.4</v>
      </c>
      <c r="F24" s="8">
        <f>Dataset!$V20</f>
        <v>61.4</v>
      </c>
    </row>
    <row r="25" spans="1:6" ht="15" x14ac:dyDescent="0.25">
      <c r="A25" s="7" t="s">
        <v>34</v>
      </c>
      <c r="B25" s="12">
        <f>Dataset!$G21</f>
        <v>34.700000000000003</v>
      </c>
      <c r="C25" s="12">
        <f>Dataset!$N21</f>
        <v>106.1</v>
      </c>
      <c r="D25" s="12">
        <f>Dataset!$R21</f>
        <v>63.6</v>
      </c>
      <c r="E25" s="12">
        <f>Dataset!$T21</f>
        <v>128.6</v>
      </c>
      <c r="F25" s="8">
        <f>Dataset!$V21</f>
        <v>63.6</v>
      </c>
    </row>
    <row r="26" spans="1:6" ht="15" x14ac:dyDescent="0.25">
      <c r="A26" s="7" t="s">
        <v>37</v>
      </c>
      <c r="B26" s="12">
        <f>Dataset!$G22</f>
        <v>36.5</v>
      </c>
      <c r="C26" s="12">
        <f>Dataset!$N22</f>
        <v>110.3</v>
      </c>
      <c r="D26" s="12">
        <f>Dataset!$R22</f>
        <v>65.900000000000006</v>
      </c>
      <c r="E26" s="12">
        <f>Dataset!$T22</f>
        <v>133.4</v>
      </c>
      <c r="F26" s="8">
        <f>Dataset!$V22</f>
        <v>65.900000000000006</v>
      </c>
    </row>
    <row r="27" spans="1:6" ht="15" x14ac:dyDescent="0.25">
      <c r="A27" s="7" t="s">
        <v>39</v>
      </c>
      <c r="B27" s="12">
        <f>Dataset!$G23</f>
        <v>38</v>
      </c>
      <c r="C27" s="12">
        <f>Dataset!$N23</f>
        <v>115.5</v>
      </c>
      <c r="D27" s="12">
        <f>Dataset!$R23</f>
        <v>68.7</v>
      </c>
      <c r="E27" s="12">
        <f>Dataset!$T23</f>
        <v>138.80000000000001</v>
      </c>
      <c r="F27" s="8">
        <f>Dataset!$V23</f>
        <v>68.7</v>
      </c>
    </row>
    <row r="28" spans="1:6" ht="15" x14ac:dyDescent="0.25">
      <c r="A28" s="19" t="s">
        <v>82</v>
      </c>
      <c r="B28" s="32">
        <f>MIN(B$6:B$27)</f>
        <v>0</v>
      </c>
      <c r="C28" s="32">
        <f t="shared" ref="C28:F28" si="0">MIN(C$6:C$27)</f>
        <v>0</v>
      </c>
      <c r="D28" s="32">
        <f t="shared" si="0"/>
        <v>0</v>
      </c>
      <c r="E28" s="32">
        <f t="shared" si="0"/>
        <v>0</v>
      </c>
      <c r="F28" s="32">
        <f t="shared" si="0"/>
        <v>0</v>
      </c>
    </row>
    <row r="29" spans="1:6" ht="15" x14ac:dyDescent="0.25">
      <c r="A29" s="19" t="s">
        <v>83</v>
      </c>
      <c r="B29" s="32">
        <f>MAX(B$6:B$27)</f>
        <v>38</v>
      </c>
      <c r="C29" s="32">
        <f t="shared" ref="C29:F29" si="1">MAX(C$6:C$27)</f>
        <v>115.5</v>
      </c>
      <c r="D29" s="32">
        <f t="shared" si="1"/>
        <v>68.7</v>
      </c>
      <c r="E29" s="32">
        <f t="shared" si="1"/>
        <v>138.80000000000001</v>
      </c>
      <c r="F29" s="32">
        <f t="shared" si="1"/>
        <v>68.7</v>
      </c>
    </row>
    <row r="30" spans="1:6" ht="15" x14ac:dyDescent="0.25">
      <c r="A30" s="19" t="s">
        <v>84</v>
      </c>
      <c r="B30" s="32">
        <f>AVERAGE(B$6:B$27)</f>
        <v>18.845454545454547</v>
      </c>
      <c r="C30" s="32">
        <f t="shared" ref="C30:F30" si="2">AVERAGE(C$6:C$27)</f>
        <v>56.390909090909098</v>
      </c>
      <c r="D30" s="32">
        <f t="shared" si="2"/>
        <v>34.081818181818186</v>
      </c>
      <c r="E30" s="32">
        <f t="shared" si="2"/>
        <v>68.854545454545459</v>
      </c>
      <c r="F30" s="32">
        <f t="shared" si="2"/>
        <v>34.081818181818186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I11" sqref="I11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1" customFormat="1" ht="21" x14ac:dyDescent="0.35">
      <c r="A1" s="42" t="s">
        <v>56</v>
      </c>
      <c r="B1" s="41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3" t="s">
        <v>53</v>
      </c>
      <c r="B5" s="40" t="s">
        <v>177</v>
      </c>
    </row>
    <row r="6" spans="1:10" ht="18.75" x14ac:dyDescent="0.3">
      <c r="A6" s="43" t="s">
        <v>153</v>
      </c>
      <c r="B6" s="40"/>
    </row>
    <row r="7" spans="1:10" ht="18.75" x14ac:dyDescent="0.3">
      <c r="A7" s="43"/>
      <c r="B7" s="40"/>
    </row>
    <row r="9" spans="1:10" ht="23.25" x14ac:dyDescent="0.35">
      <c r="A9" s="18" t="s">
        <v>165</v>
      </c>
      <c r="I9" s="2"/>
      <c r="J9" s="2"/>
    </row>
    <row r="10" spans="1:10" x14ac:dyDescent="0.25">
      <c r="A10" s="34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162</v>
      </c>
    </row>
    <row r="15" spans="1:10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5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25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25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25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25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25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25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25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25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25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25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25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25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25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25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25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25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25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25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25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25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25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25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25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25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25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25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25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25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25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25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25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25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25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25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25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25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25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25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H13" sqref="H13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2" t="s">
        <v>85</v>
      </c>
      <c r="B1" s="41" t="s">
        <v>167</v>
      </c>
    </row>
    <row r="2" spans="1:3" ht="18.75" x14ac:dyDescent="0.3">
      <c r="B2" s="40" t="s">
        <v>166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1" t="s">
        <v>178</v>
      </c>
    </row>
    <row r="7" spans="1:3" ht="15" x14ac:dyDescent="0.25">
      <c r="A7" s="3" t="s">
        <v>153</v>
      </c>
      <c r="B7" s="1"/>
    </row>
    <row r="10" spans="1:3" ht="23.25" x14ac:dyDescent="0.35">
      <c r="A10" s="18" t="s">
        <v>162</v>
      </c>
    </row>
    <row r="11" spans="1:3" ht="15" x14ac:dyDescent="0.25">
      <c r="A11" s="33" t="s">
        <v>86</v>
      </c>
      <c r="B11" s="17" t="s">
        <v>87</v>
      </c>
      <c r="C11" s="17" t="s">
        <v>88</v>
      </c>
    </row>
    <row r="12" spans="1:3" ht="15" x14ac:dyDescent="0.25">
      <c r="A12" s="33">
        <v>44927</v>
      </c>
      <c r="B12" s="17" t="s">
        <v>59</v>
      </c>
      <c r="C12" s="17">
        <v>200</v>
      </c>
    </row>
    <row r="13" spans="1:3" ht="15" x14ac:dyDescent="0.25">
      <c r="A13" s="33">
        <v>44928</v>
      </c>
      <c r="B13" s="17" t="s">
        <v>60</v>
      </c>
      <c r="C13" s="17" t="e">
        <v>#N/A</v>
      </c>
    </row>
    <row r="14" spans="1:3" ht="15" x14ac:dyDescent="0.25">
      <c r="A14" s="33">
        <v>44929</v>
      </c>
      <c r="B14" s="17" t="s">
        <v>61</v>
      </c>
      <c r="C14" s="17">
        <v>50</v>
      </c>
    </row>
    <row r="15" spans="1:3" ht="15" x14ac:dyDescent="0.25">
      <c r="A15" s="33">
        <v>44930</v>
      </c>
      <c r="B15" s="17" t="s">
        <v>62</v>
      </c>
      <c r="C15" s="17" t="e">
        <v>#N/A</v>
      </c>
    </row>
    <row r="16" spans="1:3" ht="15" x14ac:dyDescent="0.25">
      <c r="A16" s="33">
        <v>44931</v>
      </c>
      <c r="B16" s="17" t="s">
        <v>63</v>
      </c>
      <c r="C16" s="17">
        <v>10</v>
      </c>
    </row>
    <row r="17" spans="1:3" ht="15" x14ac:dyDescent="0.25">
      <c r="A17" s="33">
        <v>44932</v>
      </c>
      <c r="B17" s="17" t="s">
        <v>154</v>
      </c>
      <c r="C17" s="17">
        <v>150</v>
      </c>
    </row>
    <row r="18" spans="1:3" ht="15" x14ac:dyDescent="0.25">
      <c r="A18" s="33">
        <v>44933</v>
      </c>
      <c r="B18" s="17" t="s">
        <v>155</v>
      </c>
      <c r="C18" s="17">
        <v>80</v>
      </c>
    </row>
    <row r="19" spans="1:3" ht="15" x14ac:dyDescent="0.25">
      <c r="A19" s="33">
        <v>44934</v>
      </c>
      <c r="B19" s="17" t="s">
        <v>156</v>
      </c>
      <c r="C19" s="17" t="e">
        <v>#N/A</v>
      </c>
    </row>
    <row r="20" spans="1:3" ht="15" x14ac:dyDescent="0.25">
      <c r="A20" s="33">
        <v>44935</v>
      </c>
      <c r="B20" s="17" t="s">
        <v>157</v>
      </c>
      <c r="C20" s="17">
        <v>30</v>
      </c>
    </row>
    <row r="21" spans="1:3" ht="15" x14ac:dyDescent="0.25">
      <c r="A21" s="33">
        <v>44936</v>
      </c>
      <c r="B21" s="17" t="s">
        <v>158</v>
      </c>
      <c r="C21" s="17" t="e">
        <v>#N/A</v>
      </c>
    </row>
    <row r="22" spans="1:3" ht="15" x14ac:dyDescent="0.25">
      <c r="B22" s="17" t="s">
        <v>159</v>
      </c>
      <c r="C22" s="25" cm="1">
        <f t="array" ref="C22">SUM(IFERROR(C12:C21, 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L26" sqref="L26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2" t="s">
        <v>98</v>
      </c>
      <c r="B1" s="41" t="s">
        <v>175</v>
      </c>
    </row>
    <row r="3" spans="1:14" ht="15" x14ac:dyDescent="0.25">
      <c r="B3" s="1" t="s">
        <v>151</v>
      </c>
    </row>
    <row r="4" spans="1:14" ht="18.75" x14ac:dyDescent="0.3">
      <c r="A4" s="43" t="s">
        <v>53</v>
      </c>
      <c r="B4" s="1"/>
    </row>
    <row r="5" spans="1:14" ht="18.75" x14ac:dyDescent="0.3">
      <c r="A5" s="43" t="s">
        <v>153</v>
      </c>
      <c r="B5" s="1"/>
    </row>
    <row r="6" spans="1:14" ht="15" x14ac:dyDescent="0.25">
      <c r="A6" s="3"/>
      <c r="B6" s="1"/>
    </row>
    <row r="8" spans="1:14" ht="23.25" x14ac:dyDescent="0.35">
      <c r="A8" s="18" t="s">
        <v>162</v>
      </c>
      <c r="M8" s="18" t="s">
        <v>163</v>
      </c>
    </row>
    <row r="9" spans="1:14" ht="15" x14ac:dyDescent="0.2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35">
      <c r="A21" s="18" t="s">
        <v>168</v>
      </c>
    </row>
    <row r="22" spans="1:14" ht="15" x14ac:dyDescent="0.25">
      <c r="A22" s="14" t="s">
        <v>100</v>
      </c>
      <c r="B22" s="17" t="s">
        <v>101</v>
      </c>
      <c r="C22" s="16" t="s">
        <v>102</v>
      </c>
    </row>
    <row r="23" spans="1:14" ht="15" x14ac:dyDescent="0.25">
      <c r="A23" s="7">
        <v>10100</v>
      </c>
      <c r="B23" s="12">
        <v>10102</v>
      </c>
      <c r="C23" s="44"/>
    </row>
    <row r="24" spans="1:14" ht="15" x14ac:dyDescent="0.25">
      <c r="A24" s="7">
        <v>10100</v>
      </c>
      <c r="B24" s="12">
        <v>10104</v>
      </c>
      <c r="C24" s="44"/>
    </row>
    <row r="25" spans="1:14" ht="15" x14ac:dyDescent="0.25">
      <c r="A25" s="7">
        <v>10108</v>
      </c>
      <c r="B25" s="12">
        <v>10102</v>
      </c>
      <c r="C25" s="44"/>
    </row>
    <row r="26" spans="1:14" ht="15" x14ac:dyDescent="0.25">
      <c r="A26" s="7">
        <v>10100</v>
      </c>
      <c r="B26" s="12">
        <v>10106</v>
      </c>
      <c r="C26" s="44"/>
    </row>
    <row r="27" spans="1:14" ht="15" x14ac:dyDescent="0.25">
      <c r="A27" s="7">
        <v>10108</v>
      </c>
      <c r="B27" s="12">
        <v>10110</v>
      </c>
      <c r="C27" s="44"/>
    </row>
    <row r="28" spans="1:14" ht="15" x14ac:dyDescent="0.25">
      <c r="A28" s="7">
        <v>10102</v>
      </c>
      <c r="B28" s="12">
        <v>10104</v>
      </c>
      <c r="C28" s="44"/>
    </row>
    <row r="29" spans="1:14" ht="15" x14ac:dyDescent="0.25">
      <c r="A29" s="7">
        <v>10106</v>
      </c>
      <c r="B29" s="12">
        <v>10108</v>
      </c>
      <c r="C29" s="44"/>
    </row>
    <row r="30" spans="1:14" ht="15" x14ac:dyDescent="0.25">
      <c r="A30" s="7">
        <v>10102</v>
      </c>
      <c r="B30" s="12">
        <v>10106</v>
      </c>
      <c r="C30" s="44"/>
    </row>
    <row r="31" spans="1:14" ht="15" x14ac:dyDescent="0.25">
      <c r="A31" s="7">
        <v>10110</v>
      </c>
      <c r="B31" s="12">
        <v>10114</v>
      </c>
      <c r="C31" s="44"/>
    </row>
    <row r="32" spans="1:14" ht="15" x14ac:dyDescent="0.25">
      <c r="A32" s="7">
        <v>10104</v>
      </c>
      <c r="B32" s="12">
        <v>10106</v>
      </c>
      <c r="C32" s="44"/>
    </row>
    <row r="33" spans="1:3" ht="15" x14ac:dyDescent="0.25">
      <c r="A33" s="7">
        <v>10110</v>
      </c>
      <c r="B33" s="12">
        <v>10112</v>
      </c>
      <c r="C33" s="44"/>
    </row>
    <row r="34" spans="1:3" ht="15" x14ac:dyDescent="0.25">
      <c r="A34" s="7">
        <v>10100</v>
      </c>
      <c r="B34" s="12">
        <v>10114</v>
      </c>
      <c r="C34" s="44"/>
    </row>
    <row r="35" spans="1:3" ht="15" x14ac:dyDescent="0.25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Ashish Maharana</cp:lastModifiedBy>
  <dcterms:created xsi:type="dcterms:W3CDTF">2015-02-10T17:33:11Z</dcterms:created>
  <dcterms:modified xsi:type="dcterms:W3CDTF">2023-12-10T18:13:34Z</dcterms:modified>
</cp:coreProperties>
</file>